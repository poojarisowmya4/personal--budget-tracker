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iharika poojari\Desktop\excel-expense-dashboard\"/>
    </mc:Choice>
  </mc:AlternateContent>
  <xr:revisionPtr revIDLastSave="0" documentId="13_ncr:1_{B549318D-1D3C-4BF3-BB10-EBC56D79B848}" xr6:coauthVersionLast="47" xr6:coauthVersionMax="47" xr10:uidLastSave="{00000000-0000-0000-0000-000000000000}"/>
  <bookViews>
    <workbookView xWindow="-108" yWindow="-108" windowWidth="23256" windowHeight="12456" activeTab="2" xr2:uid="{E2835DA3-1118-4D31-A3B1-8E81291A89B6}"/>
  </bookViews>
  <sheets>
    <sheet name="SUMMARY" sheetId="2" r:id="rId1"/>
    <sheet name="raw data" sheetId="1" r:id="rId2"/>
    <sheet name="dashboard" sheetId="3" r:id="rId3"/>
  </sheets>
  <definedNames>
    <definedName name="Slicer_DATE">#N/A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<sst xmlns="http://schemas.openxmlformats.org/spreadsheetml/2006/main" count="72" uniqueCount="46">
  <si>
    <t>DATE</t>
  </si>
  <si>
    <t>CATEGORY</t>
  </si>
  <si>
    <t>DESCRIPTION</t>
  </si>
  <si>
    <t>AMOUNT</t>
  </si>
  <si>
    <t>PAYMENT METHOD</t>
  </si>
  <si>
    <t>Food</t>
  </si>
  <si>
    <t>travel bus</t>
  </si>
  <si>
    <t>bills</t>
  </si>
  <si>
    <t>shopping</t>
  </si>
  <si>
    <t>entertainment</t>
  </si>
  <si>
    <t>health</t>
  </si>
  <si>
    <t>mics</t>
  </si>
  <si>
    <t>food</t>
  </si>
  <si>
    <t>rent</t>
  </si>
  <si>
    <t>education</t>
  </si>
  <si>
    <t>travel</t>
  </si>
  <si>
    <t>lunch at café</t>
  </si>
  <si>
    <t>bus ticket</t>
  </si>
  <si>
    <t>electricity bill</t>
  </si>
  <si>
    <t>groceries</t>
  </si>
  <si>
    <t>movie</t>
  </si>
  <si>
    <t>medicine purchase</t>
  </si>
  <si>
    <t>stationery items</t>
  </si>
  <si>
    <t>dinner with friends</t>
  </si>
  <si>
    <t>monthly house rent</t>
  </si>
  <si>
    <t>online course</t>
  </si>
  <si>
    <t>auto fare</t>
  </si>
  <si>
    <t>mobile recharge</t>
  </si>
  <si>
    <t>clothes purchase</t>
  </si>
  <si>
    <t>music subscription</t>
  </si>
  <si>
    <t>breakfast</t>
  </si>
  <si>
    <t>cash</t>
  </si>
  <si>
    <t>UPI</t>
  </si>
  <si>
    <t>net banking</t>
  </si>
  <si>
    <t>card</t>
  </si>
  <si>
    <t>Card</t>
  </si>
  <si>
    <t>Cash</t>
  </si>
  <si>
    <t>Grand Total</t>
  </si>
  <si>
    <t>Sum of AMOUNT</t>
  </si>
  <si>
    <t>ROW</t>
  </si>
  <si>
    <t>TOTAL SPENDING</t>
  </si>
  <si>
    <t>HIGHEST SPENDING CATEGORY</t>
  </si>
  <si>
    <t>RENT</t>
  </si>
  <si>
    <t>TOTAL CATEGORIES</t>
  </si>
  <si>
    <t>Row Labels</t>
  </si>
  <si>
    <t>PERSONAL EXPENSE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</si>
</sst>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0" fontId="2" fillId="3" borderId="1" xfId="0" applyFont="1" applyFill="1" applyBorder="1"/>
    <xf numFmtId="0" fontId="2" fillId="3" borderId="0" xfId="0" applyFont="1" applyFill="1"/>
    <xf numFmtId="164" fontId="2" fillId="2" borderId="1" xfId="0" applyNumberFormat="1" applyFont="1" applyFill="1" applyBorder="1"/>
    <xf numFmtId="0" fontId="2" fillId="4" borderId="2" xfId="0" applyFont="1" applyFill="1" applyBorder="1"/>
    <xf numFmtId="0" fontId="2" fillId="4" borderId="3" xfId="0" applyFont="1" applyFill="1" applyBorder="1"/>
    <xf numFmtId="14" fontId="0" fillId="0" borderId="0" xfId="0" applyNumberFormat="1" applyAlignment="1">
      <alignment horizontal="left"/>
    </xf>
    <xf numFmtId="0" fontId="3" fillId="0" borderId="0" xfId="0" applyFont="1"/>
    <xf numFmtId="0" fontId="0" fillId="0" borderId="0" xfId="0" applyNumberFormat="1"/>
  </cellXfs>
  <cellStyles count="1">
    <cellStyle name="Normal" xfId="0" builtinId="0"/>
  </cellStyles>
  <dxfs count="2">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[expense-tracker .Xlsx]SUMMARY!PivotTable1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BY CATEGORY</a:t>
            </a:r>
            <a:endParaRPr lang="en-US"/>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SUMMARY!$B$3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5B-4171-B499-9795A98418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5B-4171-B499-9795A98418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5B-4171-B499-9795A98418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5B-4171-B499-9795A98418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25B-4171-B499-9795A98418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5B-4171-B499-9795A98418A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25B-4171-B499-9795A98418A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25B-4171-B499-9795A98418A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25B-4171-B499-9795A98418A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25B-4171-B499-9795A98418A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25B-4171-B499-9795A98418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SUMMARY!$A$4:$A$14</c:f>
              <c:strCache>
                <c:ptCount val="10"/>
                <c:pt idx="0">
                  <c:v>rent</c:v>
                </c:pt>
                <c:pt idx="1">
                  <c:v>shopping</c:v>
                </c:pt>
                <c:pt idx="2">
                  <c:v>education</c:v>
                </c:pt>
                <c:pt idx="3">
                  <c:v>bills</c:v>
                </c:pt>
                <c:pt idx="4">
                  <c:v>Food</c:v>
                </c:pt>
                <c:pt idx="5">
                  <c:v>entertainment</c:v>
                </c:pt>
                <c:pt idx="6">
                  <c:v>health</c:v>
                </c:pt>
                <c:pt idx="7">
                  <c:v>mics</c:v>
                </c:pt>
                <c:pt idx="8">
                  <c:v>travel</c:v>
                </c:pt>
                <c:pt idx="9">
                  <c:v>travel bus</c:v>
                </c:pt>
              </c:strCache>
            </c:strRef>
          </c:cat>
          <c:val>
            <c:numRef>
              <c:f>SUMMARY!$B$4:$B$14</c:f>
              <c:numCache>
                <c:formatCode>General</c:formatCode>
                <c:ptCount val="10"/>
                <c:pt idx="0">
                  <c:v>8000</c:v>
                </c:pt>
                <c:pt idx="1">
                  <c:v>1740</c:v>
                </c:pt>
                <c:pt idx="2">
                  <c:v>1500</c:v>
                </c:pt>
                <c:pt idx="3">
                  <c:v>1399</c:v>
                </c:pt>
                <c:pt idx="4">
                  <c:v>1070</c:v>
                </c:pt>
                <c:pt idx="5">
                  <c:v>399</c:v>
                </c:pt>
                <c:pt idx="6">
                  <c:v>180</c:v>
                </c:pt>
                <c:pt idx="7">
                  <c:v>90</c:v>
                </c:pt>
                <c:pt idx="8">
                  <c:v>60</c:v>
                </c:pt>
                <c:pt idx="9">
                  <c:v>30</c:v>
                </c:pt>
              </c:numCache>
            </c:numRef>
          </c:val>
          <c:extLst>
            <c:ext xmlns:c16="http://schemas.microsoft.com/office/drawing/2014/chart" uri="{C3380CC4-5D6E-409C-BE32-E72D297353CC}">
              <c16:uniqueId val="{00000016-525B-4171-B499-9795A98418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[expense-tracker .Xlsx]SUMMARY!PivotTable4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SPENDING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3648293963254"/>
          <c:y val="9.024314668999707E-2"/>
          <c:w val="0.83841863517060367"/>
          <c:h val="0.65607283464566923"/>
        </c:manualLayout>
      </c:layout>
      <c:lineChart>
        <c:grouping val="standard"/>
        <c:varyColors val="0"/>
        <c:ser>
          <c:idx val="0"/>
          <c:order val="0"/>
          <c:tx>
            <c:strRef>
              <c:f>SUMMARY!$D$8</c:f>
              <c:strCache>
                <c:ptCount val="1"/>
                <c:pt idx="0">
                  <c:v>Total</c:v>
                </c:pt>
              </c:strCache>
            </c:strRef>
          </c:tx>
          <c:spPr>
            <a:ln w="28575" cap="rnd">
              <a:solidFill>
                <a:schemeClr val="accent1"/>
              </a:solidFill>
              <a:round/>
            </a:ln>
            <a:effectLst/>
          </c:spPr>
          <c:marker>
            <c:symbol val="none"/>
          </c:marker>
          <c:cat>
            <c:strRef>
              <c:f>SUMMARY!$D$9</c:f>
              <c:strCache>
                <c:ptCount val="1"/>
                <c:pt idx="0">
                  <c:v>Total</c:v>
                </c:pt>
              </c:strCache>
            </c:strRef>
          </c:cat>
          <c:val>
            <c:numRef>
              <c:f>SUMMARY!$D$9</c:f>
              <c:numCache>
                <c:formatCode>General</c:formatCode>
                <c:ptCount val="1"/>
                <c:pt idx="0">
                  <c:v>14468</c:v>
                </c:pt>
              </c:numCache>
            </c:numRef>
          </c:val>
          <c:smooth val="0"/>
          <c:extLst>
            <c:ext xmlns:c16="http://schemas.microsoft.com/office/drawing/2014/chart" uri="{C3380CC4-5D6E-409C-BE32-E72D297353CC}">
              <c16:uniqueId val="{00000000-ACE2-499F-9FB5-34A60CC8AC1D}"/>
            </c:ext>
          </c:extLst>
        </c:ser>
        <c:dLbls>
          <c:showLegendKey val="0"/>
          <c:showVal val="0"/>
          <c:showCatName val="0"/>
          <c:showSerName val="0"/>
          <c:showPercent val="0"/>
          <c:showBubbleSize val="0"/>
        </c:dLbls>
        <c:smooth val="0"/>
        <c:axId val="1235885583"/>
        <c:axId val="1235886063"/>
      </c:lineChart>
      <c:catAx>
        <c:axId val="123588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86063"/>
        <c:crosses val="autoZero"/>
        <c:auto val="1"/>
        <c:lblAlgn val="ctr"/>
        <c:lblOffset val="100"/>
        <c:noMultiLvlLbl val="0"/>
      </c:catAx>
      <c:valAx>
        <c:axId val="123588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85583"/>
        <c:crosses val="autoZero"/>
        <c:crossBetween val="between"/>
      </c:valAx>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91440</xdr:colOff>
      <xdr:row>2</xdr:row>
      <xdr:rowOff>137160</xdr:rowOff>
    </xdr:from>
    <xdr:to>
      <xdr:col>10</xdr:col>
      <xdr:colOff>396240</xdr:colOff>
      <xdr:row>18</xdr:row>
      <xdr:rowOff>160020</xdr:rowOff>
    </xdr:to>
    <xdr:graphicFrame macro="">
      <xdr:nvGraphicFramePr>
        <xdr:cNvPr id="2" name="Chart 1">
          <a:extLst>
            <a:ext uri="{FF2B5EF4-FFF2-40B4-BE49-F238E27FC236}">
              <a16:creationId xmlns:a16="http://schemas.microsoft.com/office/drawing/2014/main" id="{6FAA0DCE-5E78-4F3D-823C-E649DD604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18</xdr:row>
      <xdr:rowOff>160020</xdr:rowOff>
    </xdr:from>
    <xdr:to>
      <xdr:col>10</xdr:col>
      <xdr:colOff>342900</xdr:colOff>
      <xdr:row>33</xdr:row>
      <xdr:rowOff>160020</xdr:rowOff>
    </xdr:to>
    <xdr:graphicFrame macro="">
      <xdr:nvGraphicFramePr>
        <xdr:cNvPr id="3" name="Chart 2">
          <a:extLst>
            <a:ext uri="{FF2B5EF4-FFF2-40B4-BE49-F238E27FC236}">
              <a16:creationId xmlns:a16="http://schemas.microsoft.com/office/drawing/2014/main" id="{742FF8B8-569B-4EC3-B473-743BA5373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3368040</xdr:colOff>
      <xdr:row>8</xdr:row>
      <xdr:rowOff>99060</xdr:rowOff>
    </xdr:from>
    <xdr:to>
      <xdr:col>3</xdr:col>
      <xdr:colOff>0</xdr:colOff>
      <xdr:row>22</xdr:row>
      <xdr:rowOff>5715</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9435E825-85FC-4AD1-827C-19BC30FC1D7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741420" y="1889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ika poojari" refreshedDate="45993.675768749999" createdVersion="8" refreshedVersion="8" minRefreshableVersion="3" recordCount="15" xr:uid="{42A5B0AD-14A4-4574-9830-E07C052DBF76}">
  <cacheSource type="worksheet">
    <worksheetSource ref="A1:E16" sheet="raw data"/>
  </cacheSource>
  <cacheFields count="5">
    <cacheField name="DATE" numFmtId="14">
      <sharedItems containsSemiMixedTypes="0" containsNonDate="0" containsDate="1" containsString="0" minDate="2025-01-01T00:00:00" maxDate="2025-01-16T00:00:00" count="1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sharedItems>
    </cacheField>
    <cacheField name="CATEGORY" numFmtId="0">
      <sharedItems containsBlank="1" count="11">
        <s v="Food"/>
        <s v="travel bus"/>
        <s v="bills"/>
        <s v="shopping"/>
        <s v="entertainment"/>
        <s v="health"/>
        <s v="mics"/>
        <s v="rent"/>
        <s v="education"/>
        <s v="travel"/>
        <m u="1"/>
      </sharedItems>
    </cacheField>
    <cacheField name="DESCRIPTION" numFmtId="0">
      <sharedItems/>
    </cacheField>
    <cacheField name="AMOUNT" numFmtId="0">
      <sharedItems containsSemiMixedTypes="0" containsString="0" containsNumber="1" containsInteger="1" minValue="30" maxValue="8000"/>
    </cacheField>
    <cacheField name="PAYMENT METHOD" numFmtId="0">
      <sharedItems/>
    </cacheField>
  </cacheFields>
  <extLst>
    <ext xmlns:x14="http://schemas.microsoft.com/office/spreadsheetml/2009/9/main" uri="{725AE2AE-9491-48be-B2B4-4EB974FC3084}">
      <x14:pivotCacheDefinition pivotCacheId="13324724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ika poojari" refreshedDate="45993.675768981484" createdVersion="8" refreshedVersion="8" minRefreshableVersion="3" recordCount="15" xr:uid="{C02861BC-5B5A-4ED8-BE5C-B6CB1F911C4A}">
  <cacheSource type="worksheet">
    <worksheetSource ref="A1:E16" sheet="raw data"/>
  </cacheSource>
  <cacheFields count="5">
    <cacheField name="DATE" numFmtId="14">
      <sharedItems containsSemiMixedTypes="0" containsNonDate="0" containsDate="1" containsString="0" minDate="2025-01-01T00:00:00" maxDate="2025-02-03T00:00:00" count="17">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2-01T00:00:00" u="1"/>
        <d v="2025-02-02T00:00:00" u="1"/>
      </sharedItems>
    </cacheField>
    <cacheField name="CATEGORY" numFmtId="0">
      <sharedItems/>
    </cacheField>
    <cacheField name="DESCRIPTION" numFmtId="0">
      <sharedItems/>
    </cacheField>
    <cacheField name="AMOUNT" numFmtId="0">
      <sharedItems containsSemiMixedTypes="0" containsString="0" containsNumber="1" containsInteger="1" minValue="30" maxValue="8000"/>
    </cacheField>
    <cacheField name="PAYMENT 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s v="lunch at café"/>
    <n v="250"/>
    <s v="cash"/>
  </r>
  <r>
    <x v="1"/>
    <x v="1"/>
    <s v="bus ticket"/>
    <n v="30"/>
    <s v="UPI"/>
  </r>
  <r>
    <x v="2"/>
    <x v="2"/>
    <s v="electricity bill"/>
    <n v="1200"/>
    <s v="net banking"/>
  </r>
  <r>
    <x v="3"/>
    <x v="3"/>
    <s v="groceries"/>
    <n v="540"/>
    <s v="card"/>
  </r>
  <r>
    <x v="4"/>
    <x v="4"/>
    <s v="movie"/>
    <n v="300"/>
    <s v="UPI"/>
  </r>
  <r>
    <x v="5"/>
    <x v="5"/>
    <s v="medicine purchase"/>
    <n v="180"/>
    <s v="card"/>
  </r>
  <r>
    <x v="6"/>
    <x v="6"/>
    <s v="stationery items"/>
    <n v="90"/>
    <s v="cash"/>
  </r>
  <r>
    <x v="7"/>
    <x v="0"/>
    <s v="dinner with friends"/>
    <n v="700"/>
    <s v="UPI"/>
  </r>
  <r>
    <x v="8"/>
    <x v="7"/>
    <s v="monthly house rent"/>
    <n v="8000"/>
    <s v="net banking"/>
  </r>
  <r>
    <x v="9"/>
    <x v="8"/>
    <s v="online course"/>
    <n v="1500"/>
    <s v="card"/>
  </r>
  <r>
    <x v="10"/>
    <x v="9"/>
    <s v="auto fare"/>
    <n v="60"/>
    <s v="cash"/>
  </r>
  <r>
    <x v="11"/>
    <x v="2"/>
    <s v="mobile recharge"/>
    <n v="199"/>
    <s v="UPI"/>
  </r>
  <r>
    <x v="12"/>
    <x v="3"/>
    <s v="clothes purchase"/>
    <n v="1200"/>
    <s v="card"/>
  </r>
  <r>
    <x v="13"/>
    <x v="4"/>
    <s v="music subscription"/>
    <n v="99"/>
    <s v="UPI"/>
  </r>
  <r>
    <x v="14"/>
    <x v="0"/>
    <s v="breakfast"/>
    <n v="120"/>
    <s v="cas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Food"/>
    <s v="lunch at café"/>
    <n v="250"/>
    <s v="cash"/>
  </r>
  <r>
    <x v="1"/>
    <s v="travel bus"/>
    <s v="bus ticket"/>
    <n v="30"/>
    <s v="UPI"/>
  </r>
  <r>
    <x v="2"/>
    <s v="bills"/>
    <s v="electricity bill"/>
    <n v="1200"/>
    <s v="net banking"/>
  </r>
  <r>
    <x v="3"/>
    <s v="shopping"/>
    <s v="groceries"/>
    <n v="540"/>
    <s v="card"/>
  </r>
  <r>
    <x v="4"/>
    <s v="entertainment"/>
    <s v="movie"/>
    <n v="300"/>
    <s v="UPI"/>
  </r>
  <r>
    <x v="5"/>
    <s v="health"/>
    <s v="medicine purchase"/>
    <n v="180"/>
    <s v="card"/>
  </r>
  <r>
    <x v="6"/>
    <s v="mics"/>
    <s v="stationery items"/>
    <n v="90"/>
    <s v="cash"/>
  </r>
  <r>
    <x v="7"/>
    <s v="Food"/>
    <s v="dinner with friends"/>
    <n v="700"/>
    <s v="UPI"/>
  </r>
  <r>
    <x v="8"/>
    <s v="rent"/>
    <s v="monthly house rent"/>
    <n v="8000"/>
    <s v="net banking"/>
  </r>
  <r>
    <x v="9"/>
    <s v="education"/>
    <s v="online course"/>
    <n v="1500"/>
    <s v="card"/>
  </r>
  <r>
    <x v="10"/>
    <s v="travel"/>
    <s v="auto fare"/>
    <n v="60"/>
    <s v="cash"/>
  </r>
  <r>
    <x v="11"/>
    <s v="bills"/>
    <s v="mobile recharge"/>
    <n v="199"/>
    <s v="UPI"/>
  </r>
  <r>
    <x v="12"/>
    <s v="shopping"/>
    <s v="clothes purchase"/>
    <n v="1200"/>
    <s v="card"/>
  </r>
  <r>
    <x v="13"/>
    <s v="entertainment"/>
    <s v="music subscription"/>
    <n v="99"/>
    <s v="UPI"/>
  </r>
  <r>
    <x v="14"/>
    <s v="Food"/>
    <s v="breakfast"/>
    <n v="120"/>
    <s v="ca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A4723-C4B2-4C8B-817A-E890A90B27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8:D9" firstHeaderRow="1" firstDataRow="1" firstDataCol="0"/>
  <pivotFields count="5">
    <pivotField showAll="0"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Items count="1">
    <i/>
  </rowItems>
  <colItems count="1">
    <i/>
  </colItems>
  <dataFields count="1">
    <dataField name="Sum of AMOUNT" fld="3" baseField="0" baseItem="0"/>
  </dataFields>
  <chartFormats count="5">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5BE8E-AD9F-40AD-B3C6-B470A7641C1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OW">
  <location ref="A3:B14" firstHeaderRow="1" firstDataRow="1" firstDataCol="1"/>
  <pivotFields count="5">
    <pivotField showAll="0">
      <items count="16">
        <item x="0"/>
        <item x="1"/>
        <item x="2"/>
        <item x="3"/>
        <item x="4"/>
        <item x="5"/>
        <item x="6"/>
        <item x="7"/>
        <item x="8"/>
        <item x="9"/>
        <item x="10"/>
        <item x="11"/>
        <item x="12"/>
        <item x="13"/>
        <item x="14"/>
        <item t="default"/>
      </items>
    </pivotField>
    <pivotField axis="axisRow" showAll="0" sortType="descending">
      <items count="12">
        <item x="2"/>
        <item x="8"/>
        <item x="4"/>
        <item x="0"/>
        <item x="5"/>
        <item x="6"/>
        <item x="7"/>
        <item x="3"/>
        <item x="9"/>
        <item x="1"/>
        <item m="1"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11">
    <i>
      <x v="6"/>
    </i>
    <i>
      <x v="7"/>
    </i>
    <i>
      <x v="1"/>
    </i>
    <i>
      <x/>
    </i>
    <i>
      <x v="3"/>
    </i>
    <i>
      <x v="2"/>
    </i>
    <i>
      <x v="4"/>
    </i>
    <i>
      <x v="5"/>
    </i>
    <i>
      <x v="8"/>
    </i>
    <i>
      <x v="9"/>
    </i>
    <i t="grand">
      <x/>
    </i>
  </rowItems>
  <colItems count="1">
    <i/>
  </colItems>
  <dataFields count="1">
    <dataField name="Sum of AMOUNT" fld="3" baseField="0" baseItem="0"/>
  </dataFields>
  <chartFormats count="16">
    <chartFormat chart="1"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3" format="19">
      <pivotArea type="data" outline="0" fieldPosition="0">
        <references count="2">
          <reference field="4294967294" count="1" selected="0">
            <x v="0"/>
          </reference>
          <reference field="1" count="1" selected="0">
            <x v="5"/>
          </reference>
        </references>
      </pivotArea>
    </chartFormat>
    <chartFormat chart="3" format="20">
      <pivotArea type="data" outline="0" fieldPosition="0">
        <references count="2">
          <reference field="4294967294" count="1" selected="0">
            <x v="0"/>
          </reference>
          <reference field="1" count="1" selected="0">
            <x v="6"/>
          </reference>
        </references>
      </pivotArea>
    </chartFormat>
    <chartFormat chart="3" format="21">
      <pivotArea type="data" outline="0" fieldPosition="0">
        <references count="2">
          <reference field="4294967294" count="1" selected="0">
            <x v="0"/>
          </reference>
          <reference field="1" count="1" selected="0">
            <x v="7"/>
          </reference>
        </references>
      </pivotArea>
    </chartFormat>
    <chartFormat chart="3" format="22">
      <pivotArea type="data" outline="0" fieldPosition="0">
        <references count="2">
          <reference field="4294967294" count="1" selected="0">
            <x v="0"/>
          </reference>
          <reference field="1" count="1" selected="0">
            <x v="8"/>
          </reference>
        </references>
      </pivotArea>
    </chartFormat>
    <chartFormat chart="3" format="23">
      <pivotArea type="data" outline="0" fieldPosition="0">
        <references count="2">
          <reference field="4294967294" count="1" selected="0">
            <x v="0"/>
          </reference>
          <reference field="1" count="1" selected="0">
            <x v="9"/>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64A9F3-5276-4AAB-87B4-303CF2686A5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7:G23" firstHeaderRow="1" firstDataRow="1" firstDataCol="1"/>
  <pivotFields count="5">
    <pivotField axis="axisRow" showAll="0" sortType="descending">
      <items count="18">
        <item x="0"/>
        <item x="1"/>
        <item x="2"/>
        <item x="3"/>
        <item x="4"/>
        <item x="5"/>
        <item x="6"/>
        <item x="7"/>
        <item x="8"/>
        <item x="9"/>
        <item x="10"/>
        <item x="11"/>
        <item x="12"/>
        <item x="13"/>
        <item x="14"/>
        <item m="1" x="15"/>
        <item m="1" x="1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0"/>
  </rowFields>
  <rowItems count="16">
    <i>
      <x v="8"/>
    </i>
    <i>
      <x v="9"/>
    </i>
    <i>
      <x v="12"/>
    </i>
    <i>
      <x v="2"/>
    </i>
    <i>
      <x v="7"/>
    </i>
    <i>
      <x v="3"/>
    </i>
    <i>
      <x v="4"/>
    </i>
    <i>
      <x/>
    </i>
    <i>
      <x v="11"/>
    </i>
    <i>
      <x v="5"/>
    </i>
    <i>
      <x v="14"/>
    </i>
    <i>
      <x v="13"/>
    </i>
    <i>
      <x v="6"/>
    </i>
    <i>
      <x v="10"/>
    </i>
    <i>
      <x v="1"/>
    </i>
    <i t="grand">
      <x/>
    </i>
  </rowItems>
  <colItems count="1">
    <i/>
  </colItems>
  <dataFields count="1">
    <dataField name="Sum of AMOUNT" fld="3" baseField="0" baseItem="0"/>
  </dataFields>
  <chartFormats count="4">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552D55D-06ED-45B3-8F4C-9D2304F2C901}" sourceName="DATE">
  <pivotTables>
    <pivotTable tabId="2" name="PivotTable1"/>
    <pivotTable tabId="2" name="PivotTable4"/>
  </pivotTables>
  <data>
    <tabular pivotCacheId="1332472497">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8FC9840-8C0E-444F-AF97-00501B93EB49}" cache="Slicer_DATE" caption="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65D1EF-4016-4EFE-B4AE-E324F24F04DC}" name="Table1" displayName="Table1" ref="A1:E16" totalsRowShown="0" headerRowDxfId="1">
  <autoFilter ref="A1:E16" xr:uid="{CC65D1EF-4016-4EFE-B4AE-E324F24F04DC}"/>
  <tableColumns count="5">
    <tableColumn id="1" xr3:uid="{D8A29EF7-507B-402A-80E0-24D7E716E82B}" name="DATE" dataDxfId="0"/>
    <tableColumn id="2" xr3:uid="{EEB0501B-6F9C-4E91-AB1D-647332741574}" name="CATEGORY"/>
    <tableColumn id="3" xr3:uid="{C2C0A1CC-F318-40FD-84E6-725425A9B328}" name="DESCRIPTION"/>
    <tableColumn id="4" xr3:uid="{E7012711-A387-454B-8897-789A0770802B}" name="AMOUNT"/>
    <tableColumn id="5" xr3:uid="{71ACD40C-7806-4CF4-A0B5-0EF8F636DE57}"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949EB-BE15-4201-86AE-3EB8FF6882D9}">
  <dimension ref="A3:G23"/>
  <sheetViews>
    <sheetView workbookViewId="0">
      <selection activeCell="I11" sqref="I11"/>
    </sheetView>
  </sheetViews>
  <sheetFormatPr defaultRowHeight="14.4" x14ac:dyDescent="0.3"/>
  <cols>
    <col min="1" max="1" width="12.6640625" bestFit="1" customWidth="1"/>
    <col min="2" max="2" width="15.5546875" bestFit="1" customWidth="1"/>
    <col min="4" max="5" width="15.5546875" bestFit="1" customWidth="1"/>
    <col min="6" max="6" width="14.6640625" customWidth="1"/>
    <col min="7" max="7" width="16.21875" customWidth="1"/>
  </cols>
  <sheetData>
    <row r="3" spans="1:7" x14ac:dyDescent="0.3">
      <c r="A3" s="3" t="s">
        <v>39</v>
      </c>
      <c r="B3" t="s">
        <v>38</v>
      </c>
    </row>
    <row r="4" spans="1:7" x14ac:dyDescent="0.3">
      <c r="A4" s="4" t="s">
        <v>13</v>
      </c>
      <c r="B4" s="13">
        <v>8000</v>
      </c>
    </row>
    <row r="5" spans="1:7" x14ac:dyDescent="0.3">
      <c r="A5" s="4" t="s">
        <v>8</v>
      </c>
      <c r="B5" s="13">
        <v>1740</v>
      </c>
    </row>
    <row r="6" spans="1:7" x14ac:dyDescent="0.3">
      <c r="A6" s="4" t="s">
        <v>14</v>
      </c>
      <c r="B6" s="13">
        <v>1500</v>
      </c>
    </row>
    <row r="7" spans="1:7" x14ac:dyDescent="0.3">
      <c r="A7" s="4" t="s">
        <v>7</v>
      </c>
      <c r="B7" s="13">
        <v>1399</v>
      </c>
      <c r="F7" s="3" t="s">
        <v>44</v>
      </c>
      <c r="G7" t="s">
        <v>38</v>
      </c>
    </row>
    <row r="8" spans="1:7" x14ac:dyDescent="0.3">
      <c r="A8" s="4" t="s">
        <v>5</v>
      </c>
      <c r="B8" s="13">
        <v>1070</v>
      </c>
      <c r="D8" t="s">
        <v>38</v>
      </c>
      <c r="F8" s="11">
        <v>45666</v>
      </c>
      <c r="G8">
        <v>8000</v>
      </c>
    </row>
    <row r="9" spans="1:7" x14ac:dyDescent="0.3">
      <c r="A9" s="4" t="s">
        <v>9</v>
      </c>
      <c r="B9" s="13">
        <v>399</v>
      </c>
      <c r="D9" s="13">
        <v>14468</v>
      </c>
      <c r="F9" s="11">
        <v>45667</v>
      </c>
      <c r="G9">
        <v>1500</v>
      </c>
    </row>
    <row r="10" spans="1:7" x14ac:dyDescent="0.3">
      <c r="A10" s="4" t="s">
        <v>10</v>
      </c>
      <c r="B10" s="13">
        <v>180</v>
      </c>
      <c r="F10" s="11">
        <v>45670</v>
      </c>
      <c r="G10">
        <v>1200</v>
      </c>
    </row>
    <row r="11" spans="1:7" x14ac:dyDescent="0.3">
      <c r="A11" s="4" t="s">
        <v>11</v>
      </c>
      <c r="B11" s="13">
        <v>90</v>
      </c>
      <c r="F11" s="11">
        <v>45660</v>
      </c>
      <c r="G11">
        <v>1200</v>
      </c>
    </row>
    <row r="12" spans="1:7" x14ac:dyDescent="0.3">
      <c r="A12" s="4" t="s">
        <v>15</v>
      </c>
      <c r="B12" s="13">
        <v>60</v>
      </c>
      <c r="F12" s="11">
        <v>45665</v>
      </c>
      <c r="G12">
        <v>700</v>
      </c>
    </row>
    <row r="13" spans="1:7" x14ac:dyDescent="0.3">
      <c r="A13" s="4" t="s">
        <v>6</v>
      </c>
      <c r="B13" s="13">
        <v>30</v>
      </c>
      <c r="F13" s="11">
        <v>45661</v>
      </c>
      <c r="G13">
        <v>540</v>
      </c>
    </row>
    <row r="14" spans="1:7" x14ac:dyDescent="0.3">
      <c r="A14" s="4" t="s">
        <v>37</v>
      </c>
      <c r="B14" s="13">
        <v>14468</v>
      </c>
      <c r="F14" s="11">
        <v>45662</v>
      </c>
      <c r="G14">
        <v>300</v>
      </c>
    </row>
    <row r="15" spans="1:7" x14ac:dyDescent="0.3">
      <c r="F15" s="11">
        <v>45658</v>
      </c>
      <c r="G15">
        <v>250</v>
      </c>
    </row>
    <row r="16" spans="1:7" x14ac:dyDescent="0.3">
      <c r="F16" s="11">
        <v>45669</v>
      </c>
      <c r="G16">
        <v>199</v>
      </c>
    </row>
    <row r="17" spans="6:7" x14ac:dyDescent="0.3">
      <c r="F17" s="11">
        <v>45663</v>
      </c>
      <c r="G17">
        <v>180</v>
      </c>
    </row>
    <row r="18" spans="6:7" x14ac:dyDescent="0.3">
      <c r="F18" s="11">
        <v>45672</v>
      </c>
      <c r="G18">
        <v>120</v>
      </c>
    </row>
    <row r="19" spans="6:7" x14ac:dyDescent="0.3">
      <c r="F19" s="11">
        <v>45671</v>
      </c>
      <c r="G19">
        <v>99</v>
      </c>
    </row>
    <row r="20" spans="6:7" x14ac:dyDescent="0.3">
      <c r="F20" s="11">
        <v>45664</v>
      </c>
      <c r="G20">
        <v>90</v>
      </c>
    </row>
    <row r="21" spans="6:7" x14ac:dyDescent="0.3">
      <c r="F21" s="11">
        <v>45668</v>
      </c>
      <c r="G21">
        <v>60</v>
      </c>
    </row>
    <row r="22" spans="6:7" x14ac:dyDescent="0.3">
      <c r="F22" s="11">
        <v>45659</v>
      </c>
      <c r="G22">
        <v>30</v>
      </c>
    </row>
    <row r="23" spans="6:7" x14ac:dyDescent="0.3">
      <c r="F23" s="4" t="s">
        <v>37</v>
      </c>
      <c r="G23">
        <v>14468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8AAB-E401-4CEC-AFB1-312F272BF69F}">
  <dimension ref="A1:E16"/>
  <sheetViews>
    <sheetView zoomScale="86" workbookViewId="0">
      <selection activeCell="E31" sqref="E31"/>
    </sheetView>
  </sheetViews>
  <sheetFormatPr defaultRowHeight="14.4" x14ac:dyDescent="0.3"/>
  <cols>
    <col min="1" max="1" width="10.33203125" bestFit="1" customWidth="1"/>
    <col min="2" max="2" width="13.109375" customWidth="1"/>
    <col min="3" max="3" width="17" customWidth="1"/>
    <col min="4" max="4" width="10.88671875" customWidth="1"/>
    <col min="5" max="5" width="19.33203125" customWidth="1"/>
  </cols>
  <sheetData>
    <row r="1" spans="1:5" x14ac:dyDescent="0.3">
      <c r="A1" s="1" t="s">
        <v>0</v>
      </c>
      <c r="B1" s="1" t="s">
        <v>1</v>
      </c>
      <c r="C1" s="1" t="s">
        <v>2</v>
      </c>
      <c r="D1" s="1" t="s">
        <v>3</v>
      </c>
      <c r="E1" s="1" t="s">
        <v>4</v>
      </c>
    </row>
    <row r="2" spans="1:5" x14ac:dyDescent="0.3">
      <c r="A2" s="2">
        <v>45658</v>
      </c>
      <c r="B2" t="s">
        <v>5</v>
      </c>
      <c r="C2" t="s">
        <v>16</v>
      </c>
      <c r="D2">
        <v>250</v>
      </c>
      <c r="E2" t="s">
        <v>31</v>
      </c>
    </row>
    <row r="3" spans="1:5" x14ac:dyDescent="0.3">
      <c r="A3" s="2">
        <v>45659</v>
      </c>
      <c r="B3" t="s">
        <v>6</v>
      </c>
      <c r="C3" t="s">
        <v>17</v>
      </c>
      <c r="D3">
        <v>30</v>
      </c>
      <c r="E3" t="s">
        <v>32</v>
      </c>
    </row>
    <row r="4" spans="1:5" x14ac:dyDescent="0.3">
      <c r="A4" s="2">
        <v>45660</v>
      </c>
      <c r="B4" t="s">
        <v>7</v>
      </c>
      <c r="C4" t="s">
        <v>18</v>
      </c>
      <c r="D4">
        <v>1200</v>
      </c>
      <c r="E4" t="s">
        <v>33</v>
      </c>
    </row>
    <row r="5" spans="1:5" x14ac:dyDescent="0.3">
      <c r="A5" s="2">
        <v>45661</v>
      </c>
      <c r="B5" t="s">
        <v>8</v>
      </c>
      <c r="C5" t="s">
        <v>19</v>
      </c>
      <c r="D5">
        <v>540</v>
      </c>
      <c r="E5" t="s">
        <v>34</v>
      </c>
    </row>
    <row r="6" spans="1:5" x14ac:dyDescent="0.3">
      <c r="A6" s="2">
        <v>45662</v>
      </c>
      <c r="B6" t="s">
        <v>9</v>
      </c>
      <c r="C6" t="s">
        <v>20</v>
      </c>
      <c r="D6">
        <v>300</v>
      </c>
      <c r="E6" t="s">
        <v>32</v>
      </c>
    </row>
    <row r="7" spans="1:5" x14ac:dyDescent="0.3">
      <c r="A7" s="2">
        <v>45663</v>
      </c>
      <c r="B7" t="s">
        <v>10</v>
      </c>
      <c r="C7" t="s">
        <v>21</v>
      </c>
      <c r="D7">
        <v>180</v>
      </c>
      <c r="E7" t="s">
        <v>35</v>
      </c>
    </row>
    <row r="8" spans="1:5" x14ac:dyDescent="0.3">
      <c r="A8" s="2">
        <v>45664</v>
      </c>
      <c r="B8" t="s">
        <v>11</v>
      </c>
      <c r="C8" t="s">
        <v>22</v>
      </c>
      <c r="D8">
        <v>90</v>
      </c>
      <c r="E8" t="s">
        <v>31</v>
      </c>
    </row>
    <row r="9" spans="1:5" x14ac:dyDescent="0.3">
      <c r="A9" s="2">
        <v>45665</v>
      </c>
      <c r="B9" t="s">
        <v>12</v>
      </c>
      <c r="C9" t="s">
        <v>23</v>
      </c>
      <c r="D9">
        <v>700</v>
      </c>
      <c r="E9" t="s">
        <v>32</v>
      </c>
    </row>
    <row r="10" spans="1:5" x14ac:dyDescent="0.3">
      <c r="A10" s="2">
        <v>45666</v>
      </c>
      <c r="B10" t="s">
        <v>13</v>
      </c>
      <c r="C10" t="s">
        <v>24</v>
      </c>
      <c r="D10">
        <v>8000</v>
      </c>
      <c r="E10" t="s">
        <v>33</v>
      </c>
    </row>
    <row r="11" spans="1:5" x14ac:dyDescent="0.3">
      <c r="A11" s="2">
        <v>45667</v>
      </c>
      <c r="B11" t="s">
        <v>14</v>
      </c>
      <c r="C11" t="s">
        <v>25</v>
      </c>
      <c r="D11">
        <v>1500</v>
      </c>
      <c r="E11" t="s">
        <v>35</v>
      </c>
    </row>
    <row r="12" spans="1:5" x14ac:dyDescent="0.3">
      <c r="A12" s="2">
        <v>45668</v>
      </c>
      <c r="B12" t="s">
        <v>15</v>
      </c>
      <c r="C12" t="s">
        <v>26</v>
      </c>
      <c r="D12">
        <v>60</v>
      </c>
      <c r="E12" t="s">
        <v>31</v>
      </c>
    </row>
    <row r="13" spans="1:5" x14ac:dyDescent="0.3">
      <c r="A13" s="2">
        <v>45669</v>
      </c>
      <c r="B13" t="s">
        <v>7</v>
      </c>
      <c r="C13" t="s">
        <v>27</v>
      </c>
      <c r="D13">
        <v>199</v>
      </c>
      <c r="E13" t="s">
        <v>32</v>
      </c>
    </row>
    <row r="14" spans="1:5" x14ac:dyDescent="0.3">
      <c r="A14" s="2">
        <v>45670</v>
      </c>
      <c r="B14" t="s">
        <v>8</v>
      </c>
      <c r="C14" t="s">
        <v>28</v>
      </c>
      <c r="D14">
        <v>1200</v>
      </c>
      <c r="E14" t="s">
        <v>35</v>
      </c>
    </row>
    <row r="15" spans="1:5" x14ac:dyDescent="0.3">
      <c r="A15" s="2">
        <v>45671</v>
      </c>
      <c r="B15" t="s">
        <v>9</v>
      </c>
      <c r="C15" t="s">
        <v>29</v>
      </c>
      <c r="D15">
        <v>99</v>
      </c>
      <c r="E15" t="s">
        <v>32</v>
      </c>
    </row>
    <row r="16" spans="1:5" x14ac:dyDescent="0.3">
      <c r="A16" s="2">
        <v>45672</v>
      </c>
      <c r="B16" t="s">
        <v>5</v>
      </c>
      <c r="C16" t="s">
        <v>30</v>
      </c>
      <c r="D16">
        <v>120</v>
      </c>
      <c r="E16"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EA34-750B-474B-8131-9E83879B01AA}">
  <dimension ref="B1:E8"/>
  <sheetViews>
    <sheetView showGridLines="0" tabSelected="1" topLeftCell="B1" workbookViewId="0">
      <selection activeCell="O11" sqref="O11"/>
    </sheetView>
  </sheetViews>
  <sheetFormatPr defaultRowHeight="14.4" x14ac:dyDescent="0.3"/>
  <cols>
    <col min="1" max="1" width="5.44140625" customWidth="1"/>
    <col min="2" max="2" width="51.109375" customWidth="1"/>
    <col min="3" max="3" width="24.6640625" customWidth="1"/>
  </cols>
  <sheetData>
    <row r="1" spans="2:5" ht="26.4" thickBot="1" x14ac:dyDescent="0.55000000000000004">
      <c r="B1" s="12"/>
      <c r="C1" s="12"/>
      <c r="D1" s="12"/>
      <c r="E1" s="12" t="s">
        <v>45</v>
      </c>
    </row>
    <row r="2" spans="2:5" ht="18.600000000000001" thickBot="1" x14ac:dyDescent="0.4">
      <c r="B2" s="5" t="s">
        <v>40</v>
      </c>
      <c r="C2" s="8">
        <f>SUM('raw data'!D:D)</f>
        <v>14468</v>
      </c>
    </row>
    <row r="4" spans="2:5" ht="15" thickBot="1" x14ac:dyDescent="0.35"/>
    <row r="5" spans="2:5" ht="18.600000000000001" thickBot="1" x14ac:dyDescent="0.4">
      <c r="B5" s="6" t="s">
        <v>41</v>
      </c>
      <c r="C5" s="7" t="s">
        <v>42</v>
      </c>
    </row>
    <row r="7" spans="2:5" ht="15" thickBot="1" x14ac:dyDescent="0.35"/>
    <row r="8" spans="2:5" ht="18.600000000000001" thickBot="1" x14ac:dyDescent="0.4">
      <c r="B8" s="9" t="s">
        <v>43</v>
      </c>
      <c r="C8" s="10">
        <v>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 Poojari</dc:creator>
  <cp:lastModifiedBy>Sowmya Poojari</cp:lastModifiedBy>
  <dcterms:created xsi:type="dcterms:W3CDTF">2025-12-01T07:56:51Z</dcterms:created>
  <dcterms:modified xsi:type="dcterms:W3CDTF">2025-12-03T09:04:14Z</dcterms:modified>
</cp:coreProperties>
</file>